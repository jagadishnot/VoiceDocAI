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MIST\SRMIST Jan 2026\Research Methodology\"/>
    </mc:Choice>
  </mc:AlternateContent>
  <xr:revisionPtr revIDLastSave="0" documentId="13_ncr:1_{83879A90-D1F4-479C-A2D9-5C9CE21B84A8}" xr6:coauthVersionLast="47" xr6:coauthVersionMax="47" xr10:uidLastSave="{00000000-0000-0000-0000-000000000000}"/>
  <bookViews>
    <workbookView xWindow="-110" yWindow="-110" windowWidth="19420" windowHeight="10300" activeTab="1" xr2:uid="{E9814759-810D-4819-9B83-87C2502374E3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3" i="2"/>
  <c r="G4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3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3" i="1"/>
  <c r="H16" i="1"/>
  <c r="H17" i="1"/>
  <c r="H18" i="1"/>
  <c r="H19" i="1"/>
  <c r="H21" i="1"/>
  <c r="H22" i="1"/>
  <c r="H23" i="1"/>
  <c r="H25" i="1"/>
  <c r="H28" i="1"/>
  <c r="H29" i="1"/>
  <c r="H30" i="1"/>
  <c r="H31" i="1"/>
  <c r="H32" i="1"/>
  <c r="H35" i="1"/>
  <c r="H36" i="1"/>
  <c r="H38" i="1"/>
  <c r="H40" i="1"/>
  <c r="H42" i="1"/>
  <c r="H15" i="1"/>
  <c r="H5" i="1"/>
  <c r="H6" i="1"/>
  <c r="H7" i="1"/>
  <c r="H9" i="1"/>
  <c r="H11" i="1"/>
  <c r="H12" i="1"/>
  <c r="H4" i="1"/>
</calcChain>
</file>

<file path=xl/sharedStrings.xml><?xml version="1.0" encoding="utf-8"?>
<sst xmlns="http://schemas.openxmlformats.org/spreadsheetml/2006/main" count="321" uniqueCount="163">
  <si>
    <t>S.No.</t>
  </si>
  <si>
    <t>Reg. No</t>
  </si>
  <si>
    <t>Name</t>
  </si>
  <si>
    <t>RA2112704010030</t>
  </si>
  <si>
    <t>ARUNI RAJ</t>
  </si>
  <si>
    <t>RA2212704010001</t>
  </si>
  <si>
    <t>VIGNESH R</t>
  </si>
  <si>
    <t>RA2212704010002</t>
  </si>
  <si>
    <t>AAKASH C K</t>
  </si>
  <si>
    <t>RA2212704010003</t>
  </si>
  <si>
    <t>ADITYA.K</t>
  </si>
  <si>
    <t>RA2212704010004</t>
  </si>
  <si>
    <t>C JANANI</t>
  </si>
  <si>
    <t>RA2212704010005</t>
  </si>
  <si>
    <t>HARSH BANSAL</t>
  </si>
  <si>
    <t>RA2212704010006</t>
  </si>
  <si>
    <t>RAGUL KARTHIK A</t>
  </si>
  <si>
    <t>RA2212704010007</t>
  </si>
  <si>
    <t>HARISH KUMARAN J V</t>
  </si>
  <si>
    <t>RA2212704010008</t>
  </si>
  <si>
    <t>VISION JAIN</t>
  </si>
  <si>
    <t>RA2212704010009</t>
  </si>
  <si>
    <t>M. DHYANESH</t>
  </si>
  <si>
    <t>RA2212704010010</t>
  </si>
  <si>
    <t>PRANAV PRAMOD K</t>
  </si>
  <si>
    <t>RA2212704010011</t>
  </si>
  <si>
    <t>MD ZEYAUL MUJTABA RIZVI</t>
  </si>
  <si>
    <t>RA2212704010012</t>
  </si>
  <si>
    <t>ADITYA MURALIDHARAN</t>
  </si>
  <si>
    <t>RA2212704010013</t>
  </si>
  <si>
    <t>DRUSILLA WINIFRED S</t>
  </si>
  <si>
    <t>RA2212704010014</t>
  </si>
  <si>
    <t>V TRISHANTH</t>
  </si>
  <si>
    <t>RA2212704010015</t>
  </si>
  <si>
    <t>HARRI RAJ D</t>
  </si>
  <si>
    <t>RA2212704010016</t>
  </si>
  <si>
    <t>ANANTHANARAYANA M</t>
  </si>
  <si>
    <t>RA2212704010017</t>
  </si>
  <si>
    <t>S.ROHITH</t>
  </si>
  <si>
    <t>RA2212704010019</t>
  </si>
  <si>
    <t>MOHAMMAD USMAN</t>
  </si>
  <si>
    <t>RA2212704010020</t>
  </si>
  <si>
    <t>PRITESH SHANT MASIH</t>
  </si>
  <si>
    <t>RA2212704010021</t>
  </si>
  <si>
    <t>AKASH CHAITANYA G</t>
  </si>
  <si>
    <t>RA2212704010022</t>
  </si>
  <si>
    <t>AKSHAAY CHETLUR BALASUBRAMANIAM</t>
  </si>
  <si>
    <t>RA2212704010024</t>
  </si>
  <si>
    <t>S KISHOR</t>
  </si>
  <si>
    <t>RA2212704010025</t>
  </si>
  <si>
    <t>JAGADISH V</t>
  </si>
  <si>
    <t>RA2212704010026</t>
  </si>
  <si>
    <t>T.R LITHESH</t>
  </si>
  <si>
    <t>RA2212704010027</t>
  </si>
  <si>
    <t>KUMAR WAIBHAV AKSHAT</t>
  </si>
  <si>
    <t>RA2212704010028</t>
  </si>
  <si>
    <t>MUGASH PRIYAN U</t>
  </si>
  <si>
    <t>RA2212704010029</t>
  </si>
  <si>
    <t>AYUSH VILAS TATHE</t>
  </si>
  <si>
    <t>RA2212704010030</t>
  </si>
  <si>
    <t>MOHAMMAD HASSAN</t>
  </si>
  <si>
    <t>RA2212704010031</t>
  </si>
  <si>
    <t>R GANESH</t>
  </si>
  <si>
    <t>RA2212704010032</t>
  </si>
  <si>
    <t>TANMAYA SARKAR</t>
  </si>
  <si>
    <t>RA2212704010033</t>
  </si>
  <si>
    <t>PRASANTH B</t>
  </si>
  <si>
    <t>RA2212704010034</t>
  </si>
  <si>
    <t>SIMRAN</t>
  </si>
  <si>
    <t>RA2212704010035</t>
  </si>
  <si>
    <t>HUJJATHULLAH S T</t>
  </si>
  <si>
    <t>RA2212704010036</t>
  </si>
  <si>
    <t>P.SANDEEP KUMAR</t>
  </si>
  <si>
    <t>RA2212704010037</t>
  </si>
  <si>
    <t>DEEPIKA ELSA JOSEPH</t>
  </si>
  <si>
    <t>RA2212704010038</t>
  </si>
  <si>
    <t>SURESH KRISHNA M</t>
  </si>
  <si>
    <t>RA2212704010039</t>
  </si>
  <si>
    <t>KONANKI RISHIKA CHOWDARY</t>
  </si>
  <si>
    <t>RA2212704010040</t>
  </si>
  <si>
    <t>VAIBHAV SINGH</t>
  </si>
  <si>
    <t>RA2212704010041</t>
  </si>
  <si>
    <t>PRAGATI</t>
  </si>
  <si>
    <t>RA2212704010042</t>
  </si>
  <si>
    <t>MUDIT KHATER</t>
  </si>
  <si>
    <t>RM</t>
  </si>
  <si>
    <t>AB</t>
  </si>
  <si>
    <t>Late</t>
  </si>
  <si>
    <t>Booseted</t>
  </si>
  <si>
    <t>Unit 3 Case study</t>
  </si>
  <si>
    <t>Research Paper</t>
  </si>
  <si>
    <t>Ab</t>
  </si>
  <si>
    <t xml:space="preserve">Team </t>
  </si>
  <si>
    <t>Registration Number</t>
  </si>
  <si>
    <t xml:space="preserve">Name </t>
  </si>
  <si>
    <t>Vision Jain</t>
  </si>
  <si>
    <t>Kumar Waibhav Akshat</t>
  </si>
  <si>
    <t>Mudit Khater</t>
  </si>
  <si>
    <t>Pritesh S. Masih</t>
  </si>
  <si>
    <t>M. Usman</t>
  </si>
  <si>
    <t>Pragati</t>
  </si>
  <si>
    <t>Dhyanesh M</t>
  </si>
  <si>
    <t>Harri Raj D</t>
  </si>
  <si>
    <t>Trishanth V</t>
  </si>
  <si>
    <t>Akshaay CB</t>
  </si>
  <si>
    <t>Akash Chaitanya</t>
  </si>
  <si>
    <t>Aditya Muralidharan</t>
  </si>
  <si>
    <t>Pranav Pramod K</t>
  </si>
  <si>
    <t>Harish Kumaran</t>
  </si>
  <si>
    <t>Aruni Raj</t>
  </si>
  <si>
    <t>Ragul Karthik A</t>
  </si>
  <si>
    <t>Aakash CK</t>
  </si>
  <si>
    <t>MD Zeyaul Rizvi</t>
  </si>
  <si>
    <t>Ayush Vilas Tathe</t>
  </si>
  <si>
    <t>Harsh Bansal</t>
  </si>
  <si>
    <t>Rohith S</t>
  </si>
  <si>
    <t>Ananthanarayana M</t>
  </si>
  <si>
    <t>Jagadish V</t>
  </si>
  <si>
    <t>Suresh Krishna M</t>
  </si>
  <si>
    <t>Lithesh T R</t>
  </si>
  <si>
    <t>Sandeep Kumar</t>
  </si>
  <si>
    <t>Mohammad Hassan</t>
  </si>
  <si>
    <t>R. Ganesh</t>
  </si>
  <si>
    <t>Deepika Elsa</t>
  </si>
  <si>
    <t>Drusilla Winifred S</t>
  </si>
  <si>
    <t>K Rishika Chowdary</t>
  </si>
  <si>
    <t>Simran</t>
  </si>
  <si>
    <t>Vignesh R</t>
  </si>
  <si>
    <t>Prasanth B</t>
  </si>
  <si>
    <t>Mugash priyan U</t>
  </si>
  <si>
    <t>C.Janani</t>
  </si>
  <si>
    <t>K.Aditya</t>
  </si>
  <si>
    <t>Kishor</t>
  </si>
  <si>
    <t>Vaibhav Singh</t>
  </si>
  <si>
    <t>Tanmaya Sarkar</t>
  </si>
  <si>
    <t>Mail</t>
  </si>
  <si>
    <t>Submitted</t>
  </si>
  <si>
    <t>Accepted</t>
  </si>
  <si>
    <t>Team 1  PRAGATI and ADITYA.K</t>
  </si>
  <si>
    <t>Team 2 MUDIT KHATER and  HARISH KUMARAN J V</t>
  </si>
  <si>
    <t>Team 3 AKASH CHAITANYA G and PRANAV PRAMOD K</t>
  </si>
  <si>
    <t>Team 4 SURESH KRISHNA M and JAGADISH V</t>
  </si>
  <si>
    <t>Team 5 ANANTHANARAYANA M and SIMRAN</t>
  </si>
  <si>
    <t>Team 6 MD ZEYAUL MUJTABA RIZVI and AYUSH VILAS TATHE</t>
  </si>
  <si>
    <t>Team 7 DEEPIKA ELSA JOSEPH and R GANESH</t>
  </si>
  <si>
    <t>Team 8 V TRISHANTH and HARSH BANSAL</t>
  </si>
  <si>
    <t>Team 9 KONANKI RISHIKA CHOWDARY and VISION JAIN</t>
  </si>
  <si>
    <t>Team 10 AAKASH C K and P.SANDEEP KUMAR</t>
  </si>
  <si>
    <t>Team 11 TANMAYA SARKAR and VAIBHAV SINGH</t>
  </si>
  <si>
    <t>Team 12 PRITESH SHANT MASIH and AKSHAAY CHETLUR BALASUBRAMANIAM</t>
  </si>
  <si>
    <t>Team 13 RAGUL KARTHIK A and M. DHYANESH</t>
  </si>
  <si>
    <t>Team 14 HUJJATHULLAH S T and MOHAMMAD USMAN</t>
  </si>
  <si>
    <t>Team 15 KUMAR WAIBHAV AKSHAT and ADITYA MURALIDHARAN</t>
  </si>
  <si>
    <t>Team 16 C JANANI and VIGNESH R</t>
  </si>
  <si>
    <t>Team 17 T.R LITHESH and PRASANTH B</t>
  </si>
  <si>
    <t>Team 18 MUGASH PRIYAN U and S.ROHITH</t>
  </si>
  <si>
    <t>Team 19 HARRI RAJ D and DRUSILLA WINIFRED S</t>
  </si>
  <si>
    <t>Team 20MOHAMMAD HASSAN and S KISHOR</t>
  </si>
  <si>
    <t>Team 21 (3 Members) ARUNI RAJ ,  PRAGATI and ADITYA.K</t>
  </si>
  <si>
    <t>Yes</t>
  </si>
  <si>
    <t>yes</t>
  </si>
  <si>
    <t>CT</t>
  </si>
  <si>
    <t>FJ2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</si>
</sst>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0" borderId="4" xfId="0" applyBorder="1"/>
    <xf numFmtId="0" fontId="6" fillId="0" borderId="0" xfId="0" applyFont="1" applyAlignment="1">
      <alignment vertical="center"/>
    </xf>
    <xf numFmtId="0" fontId="0" fillId="0" borderId="4" xfId="0" applyBorder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347B-543C-4A79-9039-65BC11D2D3AB}">
  <dimension ref="B2:I43"/>
  <sheetViews>
    <sheetView topLeftCell="A16" workbookViewId="0">
      <selection activeCell="B2" sqref="B2:D43"/>
    </sheetView>
  </sheetViews>
  <sheetFormatPr defaultRowHeight="14.5" x14ac:dyDescent="0.35"/>
  <cols>
    <col min="2" max="2" width="8.7265625" style="1"/>
    <col min="3" max="3" width="13.36328125" bestFit="1" customWidth="1"/>
    <col min="4" max="4" width="21.26953125" bestFit="1" customWidth="1"/>
    <col min="5" max="8" width="8.7265625" style="1"/>
  </cols>
  <sheetData>
    <row r="2" spans="2:9" x14ac:dyDescent="0.35">
      <c r="B2" s="2" t="s">
        <v>0</v>
      </c>
      <c r="C2" s="2" t="s">
        <v>1</v>
      </c>
      <c r="D2" s="2" t="s">
        <v>2</v>
      </c>
      <c r="E2" s="3" t="s">
        <v>85</v>
      </c>
      <c r="F2" s="3"/>
      <c r="G2" s="3"/>
      <c r="H2" s="3" t="s">
        <v>88</v>
      </c>
    </row>
    <row r="3" spans="2:9" x14ac:dyDescent="0.35">
      <c r="B3" s="4">
        <v>1</v>
      </c>
      <c r="C3" s="5" t="s">
        <v>3</v>
      </c>
      <c r="D3" s="5" t="s">
        <v>4</v>
      </c>
      <c r="E3" s="6" t="s">
        <v>86</v>
      </c>
      <c r="F3" s="6"/>
      <c r="G3" s="6"/>
      <c r="H3" s="6">
        <v>28</v>
      </c>
      <c r="I3">
        <f>H3/50*15</f>
        <v>8.4</v>
      </c>
    </row>
    <row r="4" spans="2:9" x14ac:dyDescent="0.35">
      <c r="B4" s="4">
        <v>2</v>
      </c>
      <c r="C4" s="5" t="s">
        <v>5</v>
      </c>
      <c r="D4" s="5" t="s">
        <v>6</v>
      </c>
      <c r="E4" s="6">
        <v>39</v>
      </c>
      <c r="F4" s="6"/>
      <c r="G4" s="6"/>
      <c r="H4" s="6">
        <f>E4+7</f>
        <v>46</v>
      </c>
      <c r="I4">
        <f t="shared" ref="I4:I43" si="0">H4/50*15</f>
        <v>13.8</v>
      </c>
    </row>
    <row r="5" spans="2:9" x14ac:dyDescent="0.35">
      <c r="B5" s="4">
        <v>3</v>
      </c>
      <c r="C5" s="5" t="s">
        <v>7</v>
      </c>
      <c r="D5" s="5" t="s">
        <v>8</v>
      </c>
      <c r="E5" s="6">
        <v>21</v>
      </c>
      <c r="F5" s="6"/>
      <c r="G5" s="6"/>
      <c r="H5" s="6">
        <f t="shared" ref="H5:H42" si="1">E5+7</f>
        <v>28</v>
      </c>
      <c r="I5">
        <f t="shared" si="0"/>
        <v>8.4</v>
      </c>
    </row>
    <row r="6" spans="2:9" x14ac:dyDescent="0.35">
      <c r="B6" s="4">
        <v>4</v>
      </c>
      <c r="C6" s="5" t="s">
        <v>9</v>
      </c>
      <c r="D6" s="5" t="s">
        <v>10</v>
      </c>
      <c r="E6" s="6">
        <v>31</v>
      </c>
      <c r="F6" s="6"/>
      <c r="G6" s="6"/>
      <c r="H6" s="6">
        <f t="shared" si="1"/>
        <v>38</v>
      </c>
      <c r="I6">
        <f t="shared" si="0"/>
        <v>11.4</v>
      </c>
    </row>
    <row r="7" spans="2:9" x14ac:dyDescent="0.35">
      <c r="B7" s="4">
        <v>5</v>
      </c>
      <c r="C7" s="5" t="s">
        <v>11</v>
      </c>
      <c r="D7" s="5" t="s">
        <v>12</v>
      </c>
      <c r="E7" s="6">
        <v>36.5</v>
      </c>
      <c r="F7" s="6"/>
      <c r="G7" s="6"/>
      <c r="H7" s="6">
        <f t="shared" si="1"/>
        <v>43.5</v>
      </c>
      <c r="I7">
        <f t="shared" si="0"/>
        <v>13.05</v>
      </c>
    </row>
    <row r="8" spans="2:9" x14ac:dyDescent="0.35">
      <c r="B8" s="4">
        <v>6</v>
      </c>
      <c r="C8" s="7" t="s">
        <v>13</v>
      </c>
      <c r="D8" s="7" t="s">
        <v>14</v>
      </c>
      <c r="E8" s="6">
        <v>17</v>
      </c>
      <c r="F8" s="6"/>
      <c r="G8" s="6"/>
      <c r="H8" s="6">
        <v>20</v>
      </c>
      <c r="I8">
        <f t="shared" si="0"/>
        <v>6</v>
      </c>
    </row>
    <row r="9" spans="2:9" x14ac:dyDescent="0.35">
      <c r="B9" s="4">
        <v>7</v>
      </c>
      <c r="C9" s="5" t="s">
        <v>15</v>
      </c>
      <c r="D9" s="5" t="s">
        <v>16</v>
      </c>
      <c r="E9" s="6">
        <v>25</v>
      </c>
      <c r="F9" s="6"/>
      <c r="G9" s="6"/>
      <c r="H9" s="6">
        <f t="shared" si="1"/>
        <v>32</v>
      </c>
      <c r="I9">
        <f t="shared" si="0"/>
        <v>9.6</v>
      </c>
    </row>
    <row r="10" spans="2:9" x14ac:dyDescent="0.35">
      <c r="B10" s="4">
        <v>8</v>
      </c>
      <c r="C10" s="7" t="s">
        <v>17</v>
      </c>
      <c r="D10" s="7" t="s">
        <v>18</v>
      </c>
      <c r="E10" s="6">
        <v>14.5</v>
      </c>
      <c r="F10" s="6"/>
      <c r="G10" s="6"/>
      <c r="H10" s="6">
        <v>17.5</v>
      </c>
      <c r="I10">
        <f t="shared" si="0"/>
        <v>5.25</v>
      </c>
    </row>
    <row r="11" spans="2:9" x14ac:dyDescent="0.35">
      <c r="B11" s="4">
        <v>9</v>
      </c>
      <c r="C11" s="5" t="s">
        <v>19</v>
      </c>
      <c r="D11" s="5" t="s">
        <v>20</v>
      </c>
      <c r="E11" s="6">
        <v>39</v>
      </c>
      <c r="F11" s="6"/>
      <c r="G11" s="6"/>
      <c r="H11" s="6">
        <f t="shared" si="1"/>
        <v>46</v>
      </c>
      <c r="I11">
        <f t="shared" si="0"/>
        <v>13.8</v>
      </c>
    </row>
    <row r="12" spans="2:9" x14ac:dyDescent="0.35">
      <c r="B12" s="4">
        <v>10</v>
      </c>
      <c r="C12" s="5" t="s">
        <v>21</v>
      </c>
      <c r="D12" s="5" t="s">
        <v>22</v>
      </c>
      <c r="E12" s="6">
        <v>27</v>
      </c>
      <c r="F12" s="6"/>
      <c r="G12" s="6"/>
      <c r="H12" s="6">
        <f t="shared" si="1"/>
        <v>34</v>
      </c>
      <c r="I12">
        <f t="shared" si="0"/>
        <v>10.200000000000001</v>
      </c>
    </row>
    <row r="13" spans="2:9" x14ac:dyDescent="0.35">
      <c r="B13" s="4">
        <v>11</v>
      </c>
      <c r="C13" s="7" t="s">
        <v>23</v>
      </c>
      <c r="D13" s="7" t="s">
        <v>24</v>
      </c>
      <c r="E13" s="6">
        <v>18.5</v>
      </c>
      <c r="F13" s="6"/>
      <c r="G13" s="6"/>
      <c r="H13" s="6">
        <v>22.5</v>
      </c>
      <c r="I13">
        <f t="shared" si="0"/>
        <v>6.75</v>
      </c>
    </row>
    <row r="14" spans="2:9" x14ac:dyDescent="0.35">
      <c r="B14" s="4">
        <v>12</v>
      </c>
      <c r="C14" s="5" t="s">
        <v>25</v>
      </c>
      <c r="D14" s="5" t="s">
        <v>26</v>
      </c>
      <c r="E14" s="6">
        <v>30.5</v>
      </c>
      <c r="F14" s="6" t="s">
        <v>87</v>
      </c>
      <c r="G14" s="6">
        <v>25.5</v>
      </c>
      <c r="H14" s="6">
        <v>28</v>
      </c>
      <c r="I14">
        <f t="shared" si="0"/>
        <v>8.4</v>
      </c>
    </row>
    <row r="15" spans="2:9" x14ac:dyDescent="0.35">
      <c r="B15" s="4">
        <v>13</v>
      </c>
      <c r="C15" s="5" t="s">
        <v>27</v>
      </c>
      <c r="D15" s="5" t="s">
        <v>28</v>
      </c>
      <c r="E15" s="6">
        <v>40</v>
      </c>
      <c r="F15" s="6"/>
      <c r="G15" s="6"/>
      <c r="H15" s="6">
        <f t="shared" si="1"/>
        <v>47</v>
      </c>
      <c r="I15">
        <f t="shared" si="0"/>
        <v>14.1</v>
      </c>
    </row>
    <row r="16" spans="2:9" x14ac:dyDescent="0.35">
      <c r="B16" s="4">
        <v>14</v>
      </c>
      <c r="C16" s="5" t="s">
        <v>29</v>
      </c>
      <c r="D16" s="5" t="s">
        <v>30</v>
      </c>
      <c r="E16" s="6">
        <v>26</v>
      </c>
      <c r="F16" s="6"/>
      <c r="G16" s="6"/>
      <c r="H16" s="6">
        <f t="shared" si="1"/>
        <v>33</v>
      </c>
      <c r="I16">
        <f t="shared" si="0"/>
        <v>9.9</v>
      </c>
    </row>
    <row r="17" spans="2:9" x14ac:dyDescent="0.35">
      <c r="B17" s="4">
        <v>15</v>
      </c>
      <c r="C17" s="5" t="s">
        <v>31</v>
      </c>
      <c r="D17" s="5" t="s">
        <v>32</v>
      </c>
      <c r="E17" s="6">
        <v>36</v>
      </c>
      <c r="F17" s="6"/>
      <c r="G17" s="6"/>
      <c r="H17" s="6">
        <f t="shared" si="1"/>
        <v>43</v>
      </c>
      <c r="I17">
        <f t="shared" si="0"/>
        <v>12.9</v>
      </c>
    </row>
    <row r="18" spans="2:9" x14ac:dyDescent="0.35">
      <c r="B18" s="4">
        <v>16</v>
      </c>
      <c r="C18" s="5" t="s">
        <v>33</v>
      </c>
      <c r="D18" s="5" t="s">
        <v>34</v>
      </c>
      <c r="E18" s="6">
        <v>29.5</v>
      </c>
      <c r="F18" s="6"/>
      <c r="G18" s="6"/>
      <c r="H18" s="6">
        <f t="shared" si="1"/>
        <v>36.5</v>
      </c>
      <c r="I18">
        <f t="shared" si="0"/>
        <v>10.95</v>
      </c>
    </row>
    <row r="19" spans="2:9" x14ac:dyDescent="0.35">
      <c r="B19" s="4">
        <v>17</v>
      </c>
      <c r="C19" s="5" t="s">
        <v>35</v>
      </c>
      <c r="D19" s="5" t="s">
        <v>36</v>
      </c>
      <c r="E19" s="6">
        <v>32.5</v>
      </c>
      <c r="F19" s="6"/>
      <c r="G19" s="6"/>
      <c r="H19" s="6">
        <f t="shared" si="1"/>
        <v>39.5</v>
      </c>
      <c r="I19">
        <f t="shared" si="0"/>
        <v>11.850000000000001</v>
      </c>
    </row>
    <row r="20" spans="2:9" x14ac:dyDescent="0.35">
      <c r="B20" s="4">
        <v>18</v>
      </c>
      <c r="C20" s="7" t="s">
        <v>37</v>
      </c>
      <c r="D20" s="7" t="s">
        <v>38</v>
      </c>
      <c r="E20" s="8">
        <v>25</v>
      </c>
      <c r="F20" s="6"/>
      <c r="G20" s="6"/>
      <c r="H20" s="6">
        <v>28</v>
      </c>
      <c r="I20">
        <f t="shared" si="0"/>
        <v>8.4</v>
      </c>
    </row>
    <row r="21" spans="2:9" x14ac:dyDescent="0.35">
      <c r="B21" s="4">
        <v>19</v>
      </c>
      <c r="C21" s="5" t="s">
        <v>39</v>
      </c>
      <c r="D21" s="5" t="s">
        <v>40</v>
      </c>
      <c r="E21" s="6">
        <v>40.5</v>
      </c>
      <c r="F21" s="6"/>
      <c r="G21" s="6"/>
      <c r="H21" s="6">
        <f t="shared" si="1"/>
        <v>47.5</v>
      </c>
      <c r="I21">
        <f t="shared" si="0"/>
        <v>14.25</v>
      </c>
    </row>
    <row r="22" spans="2:9" x14ac:dyDescent="0.35">
      <c r="B22" s="4">
        <v>20</v>
      </c>
      <c r="C22" s="5" t="s">
        <v>41</v>
      </c>
      <c r="D22" s="5" t="s">
        <v>42</v>
      </c>
      <c r="E22" s="6">
        <v>40.5</v>
      </c>
      <c r="F22" s="6"/>
      <c r="G22" s="6"/>
      <c r="H22" s="6">
        <f t="shared" si="1"/>
        <v>47.5</v>
      </c>
      <c r="I22">
        <f t="shared" si="0"/>
        <v>14.25</v>
      </c>
    </row>
    <row r="23" spans="2:9" x14ac:dyDescent="0.35">
      <c r="B23" s="4">
        <v>21</v>
      </c>
      <c r="C23" s="5" t="s">
        <v>43</v>
      </c>
      <c r="D23" s="5" t="s">
        <v>44</v>
      </c>
      <c r="E23" s="6">
        <v>35</v>
      </c>
      <c r="F23" s="6"/>
      <c r="G23" s="6"/>
      <c r="H23" s="6">
        <f t="shared" si="1"/>
        <v>42</v>
      </c>
      <c r="I23">
        <f t="shared" si="0"/>
        <v>12.6</v>
      </c>
    </row>
    <row r="24" spans="2:9" ht="24" x14ac:dyDescent="0.35">
      <c r="B24" s="4">
        <v>22</v>
      </c>
      <c r="C24" s="7" t="s">
        <v>45</v>
      </c>
      <c r="D24" s="7" t="s">
        <v>46</v>
      </c>
      <c r="E24" s="8">
        <v>25</v>
      </c>
      <c r="F24" s="6"/>
      <c r="G24" s="6"/>
      <c r="H24" s="6">
        <v>28</v>
      </c>
      <c r="I24">
        <f t="shared" si="0"/>
        <v>8.4</v>
      </c>
    </row>
    <row r="25" spans="2:9" x14ac:dyDescent="0.35">
      <c r="B25" s="4">
        <v>23</v>
      </c>
      <c r="C25" s="5" t="s">
        <v>47</v>
      </c>
      <c r="D25" s="5" t="s">
        <v>48</v>
      </c>
      <c r="E25" s="6">
        <v>28</v>
      </c>
      <c r="F25" s="6"/>
      <c r="G25" s="6"/>
      <c r="H25" s="6">
        <f t="shared" si="1"/>
        <v>35</v>
      </c>
      <c r="I25">
        <f t="shared" si="0"/>
        <v>10.5</v>
      </c>
    </row>
    <row r="26" spans="2:9" x14ac:dyDescent="0.35">
      <c r="B26" s="4">
        <v>24</v>
      </c>
      <c r="C26" s="7" t="s">
        <v>49</v>
      </c>
      <c r="D26" s="7" t="s">
        <v>50</v>
      </c>
      <c r="E26" s="6">
        <v>25</v>
      </c>
      <c r="F26" s="6"/>
      <c r="G26" s="6"/>
      <c r="H26" s="6">
        <v>28</v>
      </c>
      <c r="I26">
        <f t="shared" si="0"/>
        <v>8.4</v>
      </c>
    </row>
    <row r="27" spans="2:9" x14ac:dyDescent="0.35">
      <c r="B27" s="4">
        <v>25</v>
      </c>
      <c r="C27" s="7" t="s">
        <v>51</v>
      </c>
      <c r="D27" s="7" t="s">
        <v>52</v>
      </c>
      <c r="E27" s="6">
        <v>13</v>
      </c>
      <c r="F27" s="6"/>
      <c r="G27" s="6"/>
      <c r="H27" s="6">
        <v>16</v>
      </c>
      <c r="I27">
        <f t="shared" si="0"/>
        <v>4.8</v>
      </c>
    </row>
    <row r="28" spans="2:9" x14ac:dyDescent="0.35">
      <c r="B28" s="4">
        <v>26</v>
      </c>
      <c r="C28" s="5" t="s">
        <v>53</v>
      </c>
      <c r="D28" s="5" t="s">
        <v>54</v>
      </c>
      <c r="E28" s="6">
        <v>34.5</v>
      </c>
      <c r="F28" s="6"/>
      <c r="G28" s="6"/>
      <c r="H28" s="6">
        <f t="shared" si="1"/>
        <v>41.5</v>
      </c>
      <c r="I28">
        <f t="shared" si="0"/>
        <v>12.45</v>
      </c>
    </row>
    <row r="29" spans="2:9" x14ac:dyDescent="0.35">
      <c r="B29" s="4">
        <v>27</v>
      </c>
      <c r="C29" s="5" t="s">
        <v>55</v>
      </c>
      <c r="D29" s="5" t="s">
        <v>56</v>
      </c>
      <c r="E29" s="6">
        <v>28</v>
      </c>
      <c r="F29" s="6"/>
      <c r="G29" s="6"/>
      <c r="H29" s="6">
        <f t="shared" si="1"/>
        <v>35</v>
      </c>
      <c r="I29">
        <f t="shared" si="0"/>
        <v>10.5</v>
      </c>
    </row>
    <row r="30" spans="2:9" x14ac:dyDescent="0.35">
      <c r="B30" s="4">
        <v>28</v>
      </c>
      <c r="C30" s="5" t="s">
        <v>57</v>
      </c>
      <c r="D30" s="5" t="s">
        <v>58</v>
      </c>
      <c r="E30" s="6">
        <v>37</v>
      </c>
      <c r="F30" s="6"/>
      <c r="G30" s="6"/>
      <c r="H30" s="6">
        <f t="shared" si="1"/>
        <v>44</v>
      </c>
      <c r="I30">
        <f t="shared" si="0"/>
        <v>13.2</v>
      </c>
    </row>
    <row r="31" spans="2:9" x14ac:dyDescent="0.35">
      <c r="B31" s="4">
        <v>29</v>
      </c>
      <c r="C31" s="5" t="s">
        <v>59</v>
      </c>
      <c r="D31" s="5" t="s">
        <v>60</v>
      </c>
      <c r="E31" s="6">
        <v>38.5</v>
      </c>
      <c r="F31" s="6"/>
      <c r="G31" s="6"/>
      <c r="H31" s="6">
        <f t="shared" si="1"/>
        <v>45.5</v>
      </c>
      <c r="I31">
        <f t="shared" si="0"/>
        <v>13.65</v>
      </c>
    </row>
    <row r="32" spans="2:9" x14ac:dyDescent="0.35">
      <c r="B32" s="4">
        <v>30</v>
      </c>
      <c r="C32" s="5" t="s">
        <v>61</v>
      </c>
      <c r="D32" s="5" t="s">
        <v>62</v>
      </c>
      <c r="E32" s="6">
        <v>39</v>
      </c>
      <c r="F32" s="6"/>
      <c r="G32" s="6"/>
      <c r="H32" s="6">
        <f t="shared" si="1"/>
        <v>46</v>
      </c>
      <c r="I32">
        <f t="shared" si="0"/>
        <v>13.8</v>
      </c>
    </row>
    <row r="33" spans="2:9" x14ac:dyDescent="0.35">
      <c r="B33" s="4">
        <v>31</v>
      </c>
      <c r="C33" s="5" t="s">
        <v>63</v>
      </c>
      <c r="D33" s="5" t="s">
        <v>64</v>
      </c>
      <c r="E33" s="6">
        <v>41.5</v>
      </c>
      <c r="F33" s="6" t="s">
        <v>87</v>
      </c>
      <c r="G33" s="6">
        <v>36.5</v>
      </c>
      <c r="H33" s="6">
        <v>39.5</v>
      </c>
      <c r="I33">
        <f t="shared" si="0"/>
        <v>11.850000000000001</v>
      </c>
    </row>
    <row r="34" spans="2:9" x14ac:dyDescent="0.35">
      <c r="B34" s="4">
        <v>32</v>
      </c>
      <c r="C34" s="7" t="s">
        <v>65</v>
      </c>
      <c r="D34" s="7" t="s">
        <v>66</v>
      </c>
      <c r="E34" s="6">
        <v>17.5</v>
      </c>
      <c r="F34" s="6"/>
      <c r="G34" s="6"/>
      <c r="H34" s="6">
        <v>21.5</v>
      </c>
      <c r="I34">
        <f t="shared" si="0"/>
        <v>6.45</v>
      </c>
    </row>
    <row r="35" spans="2:9" x14ac:dyDescent="0.35">
      <c r="B35" s="4">
        <v>33</v>
      </c>
      <c r="C35" s="5" t="s">
        <v>67</v>
      </c>
      <c r="D35" s="5" t="s">
        <v>68</v>
      </c>
      <c r="E35" s="6">
        <v>31.5</v>
      </c>
      <c r="F35" s="6"/>
      <c r="G35" s="6"/>
      <c r="H35" s="6">
        <f t="shared" si="1"/>
        <v>38.5</v>
      </c>
      <c r="I35">
        <f t="shared" si="0"/>
        <v>11.55</v>
      </c>
    </row>
    <row r="36" spans="2:9" x14ac:dyDescent="0.35">
      <c r="B36" s="4">
        <v>34</v>
      </c>
      <c r="C36" s="5" t="s">
        <v>69</v>
      </c>
      <c r="D36" s="5" t="s">
        <v>70</v>
      </c>
      <c r="E36" s="6">
        <v>42.5</v>
      </c>
      <c r="F36" s="6"/>
      <c r="G36" s="6"/>
      <c r="H36" s="6">
        <f t="shared" si="1"/>
        <v>49.5</v>
      </c>
      <c r="I36">
        <f t="shared" si="0"/>
        <v>14.85</v>
      </c>
    </row>
    <row r="37" spans="2:9" x14ac:dyDescent="0.35">
      <c r="B37" s="4">
        <v>35</v>
      </c>
      <c r="C37" s="7" t="s">
        <v>71</v>
      </c>
      <c r="D37" s="7" t="s">
        <v>72</v>
      </c>
      <c r="E37" s="6">
        <v>19.5</v>
      </c>
      <c r="F37" s="6"/>
      <c r="G37" s="6"/>
      <c r="H37" s="6">
        <v>22.5</v>
      </c>
      <c r="I37">
        <f t="shared" si="0"/>
        <v>6.75</v>
      </c>
    </row>
    <row r="38" spans="2:9" x14ac:dyDescent="0.35">
      <c r="B38" s="4">
        <v>36</v>
      </c>
      <c r="C38" s="5" t="s">
        <v>73</v>
      </c>
      <c r="D38" s="5" t="s">
        <v>74</v>
      </c>
      <c r="E38" s="6">
        <v>33.5</v>
      </c>
      <c r="F38" s="6"/>
      <c r="G38" s="6"/>
      <c r="H38" s="6">
        <f t="shared" si="1"/>
        <v>40.5</v>
      </c>
      <c r="I38">
        <f t="shared" si="0"/>
        <v>12.15</v>
      </c>
    </row>
    <row r="39" spans="2:9" x14ac:dyDescent="0.35">
      <c r="B39" s="4">
        <v>37</v>
      </c>
      <c r="C39" s="7" t="s">
        <v>75</v>
      </c>
      <c r="D39" s="7" t="s">
        <v>76</v>
      </c>
      <c r="E39" s="6">
        <v>21</v>
      </c>
      <c r="F39" s="6"/>
      <c r="G39" s="6"/>
      <c r="H39" s="6">
        <v>25</v>
      </c>
      <c r="I39">
        <f t="shared" si="0"/>
        <v>7.5</v>
      </c>
    </row>
    <row r="40" spans="2:9" x14ac:dyDescent="0.35">
      <c r="B40" s="4">
        <v>38</v>
      </c>
      <c r="C40" s="5" t="s">
        <v>77</v>
      </c>
      <c r="D40" s="5" t="s">
        <v>78</v>
      </c>
      <c r="E40" s="6">
        <v>27.5</v>
      </c>
      <c r="F40" s="6"/>
      <c r="G40" s="6"/>
      <c r="H40" s="6">
        <f t="shared" si="1"/>
        <v>34.5</v>
      </c>
      <c r="I40">
        <f t="shared" si="0"/>
        <v>10.35</v>
      </c>
    </row>
    <row r="41" spans="2:9" x14ac:dyDescent="0.35">
      <c r="B41" s="4">
        <v>39</v>
      </c>
      <c r="C41" s="5" t="s">
        <v>79</v>
      </c>
      <c r="D41" s="5" t="s">
        <v>80</v>
      </c>
      <c r="E41" s="6">
        <v>33</v>
      </c>
      <c r="F41" s="6" t="s">
        <v>87</v>
      </c>
      <c r="G41" s="6">
        <v>28</v>
      </c>
      <c r="H41" s="6">
        <v>31</v>
      </c>
      <c r="I41">
        <f t="shared" si="0"/>
        <v>9.3000000000000007</v>
      </c>
    </row>
    <row r="42" spans="2:9" x14ac:dyDescent="0.35">
      <c r="B42" s="4">
        <v>40</v>
      </c>
      <c r="C42" s="5" t="s">
        <v>81</v>
      </c>
      <c r="D42" s="5" t="s">
        <v>82</v>
      </c>
      <c r="E42" s="6">
        <v>30</v>
      </c>
      <c r="F42" s="6"/>
      <c r="G42" s="6"/>
      <c r="H42" s="6">
        <f t="shared" si="1"/>
        <v>37</v>
      </c>
      <c r="I42">
        <f t="shared" si="0"/>
        <v>11.1</v>
      </c>
    </row>
    <row r="43" spans="2:9" x14ac:dyDescent="0.35">
      <c r="B43" s="4">
        <v>41</v>
      </c>
      <c r="C43" s="5" t="s">
        <v>83</v>
      </c>
      <c r="D43" s="5" t="s">
        <v>84</v>
      </c>
      <c r="E43" s="6">
        <v>42</v>
      </c>
      <c r="F43" s="6"/>
      <c r="G43" s="6"/>
      <c r="H43" s="6">
        <v>49</v>
      </c>
      <c r="I43">
        <f t="shared" si="0"/>
        <v>14.7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9EF4-E5E7-4715-98A1-C47DAE46ACE9}">
  <dimension ref="B1:J43"/>
  <sheetViews>
    <sheetView tabSelected="1" workbookViewId="0">
      <selection activeCell="K4" sqref="K4"/>
    </sheetView>
  </sheetViews>
  <sheetFormatPr defaultRowHeight="14.5" x14ac:dyDescent="0.35"/>
  <cols>
    <col min="3" max="3" width="16.26953125" customWidth="1"/>
    <col min="4" max="4" width="17.54296875" customWidth="1"/>
    <col min="5" max="5" width="15.1796875" style="1" customWidth="1"/>
    <col min="6" max="8" width="8.7265625" style="1"/>
    <col min="9" max="9" width="13.1796875" style="1" customWidth="1"/>
  </cols>
  <sheetData>
    <row r="1" spans="2:10" x14ac:dyDescent="0.35">
      <c r="B1" s="13"/>
      <c r="C1" s="13"/>
      <c r="D1" s="13"/>
      <c r="E1" s="10" t="s">
        <v>89</v>
      </c>
      <c r="F1" s="15" t="s">
        <v>161</v>
      </c>
      <c r="G1" s="15"/>
      <c r="H1" s="19" t="s">
        <v>162</v>
      </c>
      <c r="I1" s="20" t="s">
        <v>90</v>
      </c>
      <c r="J1" s="1"/>
    </row>
    <row r="2" spans="2:10" ht="20" customHeight="1" x14ac:dyDescent="0.35">
      <c r="B2" s="16" t="s">
        <v>0</v>
      </c>
      <c r="C2" s="16" t="s">
        <v>1</v>
      </c>
      <c r="D2" s="16" t="s">
        <v>2</v>
      </c>
      <c r="E2" s="21">
        <v>10</v>
      </c>
      <c r="F2" s="21">
        <v>50</v>
      </c>
      <c r="G2" s="21">
        <v>20</v>
      </c>
      <c r="H2" s="22">
        <v>30</v>
      </c>
      <c r="I2" s="23">
        <v>15</v>
      </c>
    </row>
    <row r="3" spans="2:10" ht="20" customHeight="1" x14ac:dyDescent="0.35">
      <c r="B3" s="17">
        <v>1</v>
      </c>
      <c r="C3" s="18" t="s">
        <v>3</v>
      </c>
      <c r="D3" s="18" t="s">
        <v>4</v>
      </c>
      <c r="E3" s="10">
        <v>9</v>
      </c>
      <c r="F3" s="10">
        <v>39.5</v>
      </c>
      <c r="G3" s="10">
        <f>F3*20/50</f>
        <v>15.8</v>
      </c>
      <c r="H3" s="19">
        <f>E3+G3</f>
        <v>24.8</v>
      </c>
      <c r="I3" s="20">
        <v>12</v>
      </c>
    </row>
    <row r="4" spans="2:10" ht="20" customHeight="1" x14ac:dyDescent="0.35">
      <c r="B4" s="17">
        <v>2</v>
      </c>
      <c r="C4" s="18" t="s">
        <v>5</v>
      </c>
      <c r="D4" s="18" t="s">
        <v>6</v>
      </c>
      <c r="E4" s="10">
        <v>9</v>
      </c>
      <c r="F4" s="10">
        <v>28</v>
      </c>
      <c r="G4" s="10">
        <f t="shared" ref="G4:G43" si="0">F4*20/50</f>
        <v>11.2</v>
      </c>
      <c r="H4" s="19">
        <f t="shared" ref="H4:H43" si="1">E4+G4</f>
        <v>20.2</v>
      </c>
      <c r="I4" s="20">
        <v>12</v>
      </c>
    </row>
    <row r="5" spans="2:10" ht="20" customHeight="1" x14ac:dyDescent="0.35">
      <c r="B5" s="17">
        <v>3</v>
      </c>
      <c r="C5" s="18" t="s">
        <v>7</v>
      </c>
      <c r="D5" s="18" t="s">
        <v>8</v>
      </c>
      <c r="E5" s="10">
        <v>9</v>
      </c>
      <c r="F5" s="10">
        <v>9</v>
      </c>
      <c r="G5" s="10">
        <f t="shared" si="0"/>
        <v>3.6</v>
      </c>
      <c r="H5" s="19">
        <f t="shared" si="1"/>
        <v>12.6</v>
      </c>
      <c r="I5" s="20">
        <v>12</v>
      </c>
    </row>
    <row r="6" spans="2:10" ht="20" customHeight="1" x14ac:dyDescent="0.35">
      <c r="B6" s="17">
        <v>4</v>
      </c>
      <c r="C6" s="18" t="s">
        <v>9</v>
      </c>
      <c r="D6" s="18" t="s">
        <v>10</v>
      </c>
      <c r="E6" s="10">
        <v>9</v>
      </c>
      <c r="F6" s="10">
        <v>22</v>
      </c>
      <c r="G6" s="10">
        <f t="shared" si="0"/>
        <v>8.8000000000000007</v>
      </c>
      <c r="H6" s="19">
        <f t="shared" si="1"/>
        <v>17.8</v>
      </c>
      <c r="I6" s="20">
        <v>14</v>
      </c>
    </row>
    <row r="7" spans="2:10" ht="20" customHeight="1" x14ac:dyDescent="0.35">
      <c r="B7" s="17">
        <v>5</v>
      </c>
      <c r="C7" s="18" t="s">
        <v>11</v>
      </c>
      <c r="D7" s="18" t="s">
        <v>12</v>
      </c>
      <c r="E7" s="10">
        <v>8</v>
      </c>
      <c r="F7" s="10" t="s">
        <v>91</v>
      </c>
      <c r="G7" s="10">
        <v>0</v>
      </c>
      <c r="H7" s="19">
        <f t="shared" si="1"/>
        <v>8</v>
      </c>
      <c r="I7" s="20">
        <v>0</v>
      </c>
    </row>
    <row r="8" spans="2:10" ht="20" customHeight="1" x14ac:dyDescent="0.35">
      <c r="B8" s="17">
        <v>6</v>
      </c>
      <c r="C8" s="18" t="s">
        <v>13</v>
      </c>
      <c r="D8" s="18" t="s">
        <v>14</v>
      </c>
      <c r="E8" s="10">
        <v>9</v>
      </c>
      <c r="F8" s="10">
        <v>16</v>
      </c>
      <c r="G8" s="10">
        <f t="shared" si="0"/>
        <v>6.4</v>
      </c>
      <c r="H8" s="19">
        <f t="shared" si="1"/>
        <v>15.4</v>
      </c>
      <c r="I8" s="20">
        <v>0</v>
      </c>
    </row>
    <row r="9" spans="2:10" ht="20" customHeight="1" x14ac:dyDescent="0.35">
      <c r="B9" s="17">
        <v>7</v>
      </c>
      <c r="C9" s="18" t="s">
        <v>15</v>
      </c>
      <c r="D9" s="18" t="s">
        <v>16</v>
      </c>
      <c r="E9" s="10">
        <v>9</v>
      </c>
      <c r="F9" s="10">
        <v>28</v>
      </c>
      <c r="G9" s="10">
        <f t="shared" si="0"/>
        <v>11.2</v>
      </c>
      <c r="H9" s="19">
        <f t="shared" si="1"/>
        <v>20.2</v>
      </c>
      <c r="I9" s="20">
        <v>12</v>
      </c>
    </row>
    <row r="10" spans="2:10" ht="20" customHeight="1" x14ac:dyDescent="0.35">
      <c r="B10" s="17">
        <v>8</v>
      </c>
      <c r="C10" s="18" t="s">
        <v>17</v>
      </c>
      <c r="D10" s="18" t="s">
        <v>18</v>
      </c>
      <c r="E10" s="10">
        <v>9</v>
      </c>
      <c r="F10" s="10">
        <v>6</v>
      </c>
      <c r="G10" s="10">
        <f t="shared" si="0"/>
        <v>2.4</v>
      </c>
      <c r="H10" s="19">
        <f t="shared" si="1"/>
        <v>11.4</v>
      </c>
      <c r="I10" s="20">
        <v>12</v>
      </c>
    </row>
    <row r="11" spans="2:10" ht="20" customHeight="1" x14ac:dyDescent="0.35">
      <c r="B11" s="17">
        <v>9</v>
      </c>
      <c r="C11" s="18" t="s">
        <v>19</v>
      </c>
      <c r="D11" s="18" t="s">
        <v>20</v>
      </c>
      <c r="E11" s="10">
        <v>9</v>
      </c>
      <c r="F11" s="10">
        <v>33.5</v>
      </c>
      <c r="G11" s="10">
        <f t="shared" si="0"/>
        <v>13.4</v>
      </c>
      <c r="H11" s="19">
        <f t="shared" si="1"/>
        <v>22.4</v>
      </c>
      <c r="I11" s="20">
        <v>14</v>
      </c>
    </row>
    <row r="12" spans="2:10" ht="20" customHeight="1" x14ac:dyDescent="0.35">
      <c r="B12" s="17">
        <v>10</v>
      </c>
      <c r="C12" s="18" t="s">
        <v>21</v>
      </c>
      <c r="D12" s="18" t="s">
        <v>22</v>
      </c>
      <c r="E12" s="10">
        <v>9</v>
      </c>
      <c r="F12" s="10">
        <v>18.5</v>
      </c>
      <c r="G12" s="10">
        <f t="shared" si="0"/>
        <v>7.4</v>
      </c>
      <c r="H12" s="19">
        <f t="shared" si="1"/>
        <v>16.399999999999999</v>
      </c>
      <c r="I12" s="20">
        <v>12</v>
      </c>
    </row>
    <row r="13" spans="2:10" ht="20" customHeight="1" x14ac:dyDescent="0.35">
      <c r="B13" s="17">
        <v>11</v>
      </c>
      <c r="C13" s="18" t="s">
        <v>23</v>
      </c>
      <c r="D13" s="18" t="s">
        <v>24</v>
      </c>
      <c r="E13" s="10">
        <v>9</v>
      </c>
      <c r="F13" s="10">
        <v>23.5</v>
      </c>
      <c r="G13" s="10">
        <f t="shared" si="0"/>
        <v>9.4</v>
      </c>
      <c r="H13" s="19">
        <f t="shared" si="1"/>
        <v>18.399999999999999</v>
      </c>
      <c r="I13" s="20">
        <v>12</v>
      </c>
    </row>
    <row r="14" spans="2:10" ht="20" customHeight="1" x14ac:dyDescent="0.35">
      <c r="B14" s="17">
        <v>12</v>
      </c>
      <c r="C14" s="18" t="s">
        <v>25</v>
      </c>
      <c r="D14" s="18" t="s">
        <v>26</v>
      </c>
      <c r="E14" s="10">
        <v>9</v>
      </c>
      <c r="F14" s="10">
        <v>23.5</v>
      </c>
      <c r="G14" s="10">
        <f t="shared" si="0"/>
        <v>9.4</v>
      </c>
      <c r="H14" s="19">
        <f t="shared" si="1"/>
        <v>18.399999999999999</v>
      </c>
      <c r="I14" s="20">
        <v>0</v>
      </c>
    </row>
    <row r="15" spans="2:10" ht="20" customHeight="1" x14ac:dyDescent="0.35">
      <c r="B15" s="17">
        <v>13</v>
      </c>
      <c r="C15" s="18" t="s">
        <v>27</v>
      </c>
      <c r="D15" s="18" t="s">
        <v>28</v>
      </c>
      <c r="E15" s="10">
        <v>9</v>
      </c>
      <c r="F15" s="10">
        <v>29.5</v>
      </c>
      <c r="G15" s="10">
        <f t="shared" si="0"/>
        <v>11.8</v>
      </c>
      <c r="H15" s="19">
        <f t="shared" si="1"/>
        <v>20.8</v>
      </c>
      <c r="I15" s="20">
        <v>12</v>
      </c>
    </row>
    <row r="16" spans="2:10" ht="20" customHeight="1" x14ac:dyDescent="0.35">
      <c r="B16" s="17">
        <v>14</v>
      </c>
      <c r="C16" s="18" t="s">
        <v>29</v>
      </c>
      <c r="D16" s="18" t="s">
        <v>30</v>
      </c>
      <c r="E16" s="10">
        <v>9</v>
      </c>
      <c r="F16" s="10">
        <v>26</v>
      </c>
      <c r="G16" s="10">
        <f t="shared" si="0"/>
        <v>10.4</v>
      </c>
      <c r="H16" s="19">
        <f t="shared" si="1"/>
        <v>19.399999999999999</v>
      </c>
      <c r="I16" s="20">
        <v>13</v>
      </c>
    </row>
    <row r="17" spans="2:9" ht="20" customHeight="1" x14ac:dyDescent="0.35">
      <c r="B17" s="17">
        <v>15</v>
      </c>
      <c r="C17" s="18" t="s">
        <v>31</v>
      </c>
      <c r="D17" s="18" t="s">
        <v>32</v>
      </c>
      <c r="E17" s="10">
        <v>9</v>
      </c>
      <c r="F17" s="10">
        <v>39.5</v>
      </c>
      <c r="G17" s="10">
        <f t="shared" si="0"/>
        <v>15.8</v>
      </c>
      <c r="H17" s="19">
        <f t="shared" si="1"/>
        <v>24.8</v>
      </c>
      <c r="I17" s="20">
        <v>13</v>
      </c>
    </row>
    <row r="18" spans="2:9" ht="20" customHeight="1" x14ac:dyDescent="0.35">
      <c r="B18" s="17">
        <v>16</v>
      </c>
      <c r="C18" s="18" t="s">
        <v>33</v>
      </c>
      <c r="D18" s="18" t="s">
        <v>34</v>
      </c>
      <c r="E18" s="10">
        <v>9</v>
      </c>
      <c r="F18" s="10">
        <v>23</v>
      </c>
      <c r="G18" s="10">
        <f t="shared" si="0"/>
        <v>9.1999999999999993</v>
      </c>
      <c r="H18" s="19">
        <f t="shared" si="1"/>
        <v>18.2</v>
      </c>
      <c r="I18" s="20">
        <v>12</v>
      </c>
    </row>
    <row r="19" spans="2:9" ht="20" customHeight="1" x14ac:dyDescent="0.35">
      <c r="B19" s="17">
        <v>17</v>
      </c>
      <c r="C19" s="18" t="s">
        <v>35</v>
      </c>
      <c r="D19" s="18" t="s">
        <v>36</v>
      </c>
      <c r="E19" s="10">
        <v>9</v>
      </c>
      <c r="F19" s="10">
        <v>39.5</v>
      </c>
      <c r="G19" s="10">
        <f t="shared" si="0"/>
        <v>15.8</v>
      </c>
      <c r="H19" s="19">
        <f t="shared" si="1"/>
        <v>24.8</v>
      </c>
      <c r="I19" s="20">
        <v>12</v>
      </c>
    </row>
    <row r="20" spans="2:9" ht="20" customHeight="1" x14ac:dyDescent="0.35">
      <c r="B20" s="17">
        <v>18</v>
      </c>
      <c r="C20" s="18" t="s">
        <v>37</v>
      </c>
      <c r="D20" s="18" t="s">
        <v>38</v>
      </c>
      <c r="E20" s="10">
        <v>9</v>
      </c>
      <c r="F20" s="10">
        <v>34</v>
      </c>
      <c r="G20" s="10">
        <f t="shared" si="0"/>
        <v>13.6</v>
      </c>
      <c r="H20" s="19">
        <f t="shared" si="1"/>
        <v>22.6</v>
      </c>
      <c r="I20" s="20">
        <v>12</v>
      </c>
    </row>
    <row r="21" spans="2:9" ht="20" customHeight="1" x14ac:dyDescent="0.35">
      <c r="B21" s="17">
        <v>19</v>
      </c>
      <c r="C21" s="18" t="s">
        <v>39</v>
      </c>
      <c r="D21" s="18" t="s">
        <v>40</v>
      </c>
      <c r="E21" s="10">
        <v>9</v>
      </c>
      <c r="F21" s="10">
        <v>22.5</v>
      </c>
      <c r="G21" s="10">
        <f t="shared" si="0"/>
        <v>9</v>
      </c>
      <c r="H21" s="19">
        <f t="shared" si="1"/>
        <v>18</v>
      </c>
      <c r="I21" s="20">
        <v>14</v>
      </c>
    </row>
    <row r="22" spans="2:9" ht="20" customHeight="1" x14ac:dyDescent="0.35">
      <c r="B22" s="17">
        <v>20</v>
      </c>
      <c r="C22" s="18" t="s">
        <v>41</v>
      </c>
      <c r="D22" s="18" t="s">
        <v>42</v>
      </c>
      <c r="E22" s="10">
        <v>9</v>
      </c>
      <c r="F22" s="10">
        <v>42</v>
      </c>
      <c r="G22" s="10">
        <f t="shared" si="0"/>
        <v>16.8</v>
      </c>
      <c r="H22" s="19">
        <f t="shared" si="1"/>
        <v>25.8</v>
      </c>
      <c r="I22" s="20">
        <v>14</v>
      </c>
    </row>
    <row r="23" spans="2:9" ht="20" customHeight="1" x14ac:dyDescent="0.35">
      <c r="B23" s="17">
        <v>21</v>
      </c>
      <c r="C23" s="18" t="s">
        <v>43</v>
      </c>
      <c r="D23" s="18" t="s">
        <v>44</v>
      </c>
      <c r="E23" s="10">
        <v>9</v>
      </c>
      <c r="F23" s="10">
        <v>23.5</v>
      </c>
      <c r="G23" s="10">
        <f t="shared" si="0"/>
        <v>9.4</v>
      </c>
      <c r="H23" s="19">
        <f t="shared" si="1"/>
        <v>18.399999999999999</v>
      </c>
      <c r="I23" s="20">
        <v>12</v>
      </c>
    </row>
    <row r="24" spans="2:9" ht="20" customHeight="1" x14ac:dyDescent="0.35">
      <c r="B24" s="17">
        <v>22</v>
      </c>
      <c r="C24" s="18" t="s">
        <v>45</v>
      </c>
      <c r="D24" s="18" t="s">
        <v>46</v>
      </c>
      <c r="E24" s="10">
        <v>9</v>
      </c>
      <c r="F24" s="10">
        <v>35.5</v>
      </c>
      <c r="G24" s="10">
        <f t="shared" si="0"/>
        <v>14.2</v>
      </c>
      <c r="H24" s="19">
        <f t="shared" si="1"/>
        <v>23.2</v>
      </c>
      <c r="I24" s="20">
        <v>12</v>
      </c>
    </row>
    <row r="25" spans="2:9" ht="20" customHeight="1" x14ac:dyDescent="0.35">
      <c r="B25" s="17">
        <v>23</v>
      </c>
      <c r="C25" s="18" t="s">
        <v>47</v>
      </c>
      <c r="D25" s="18" t="s">
        <v>48</v>
      </c>
      <c r="E25" s="10">
        <v>9</v>
      </c>
      <c r="F25" s="10">
        <v>23.5</v>
      </c>
      <c r="G25" s="10">
        <f t="shared" si="0"/>
        <v>9.4</v>
      </c>
      <c r="H25" s="19">
        <f t="shared" si="1"/>
        <v>18.399999999999999</v>
      </c>
      <c r="I25" s="20">
        <v>14</v>
      </c>
    </row>
    <row r="26" spans="2:9" ht="20" customHeight="1" x14ac:dyDescent="0.35">
      <c r="B26" s="17">
        <v>24</v>
      </c>
      <c r="C26" s="18" t="s">
        <v>49</v>
      </c>
      <c r="D26" s="18" t="s">
        <v>50</v>
      </c>
      <c r="E26" s="10">
        <v>9</v>
      </c>
      <c r="F26" s="10">
        <v>23.5</v>
      </c>
      <c r="G26" s="10">
        <f t="shared" si="0"/>
        <v>9.4</v>
      </c>
      <c r="H26" s="19">
        <f t="shared" si="1"/>
        <v>18.399999999999999</v>
      </c>
      <c r="I26" s="20">
        <v>12</v>
      </c>
    </row>
    <row r="27" spans="2:9" ht="20" customHeight="1" x14ac:dyDescent="0.35">
      <c r="B27" s="17">
        <v>25</v>
      </c>
      <c r="C27" s="18" t="s">
        <v>51</v>
      </c>
      <c r="D27" s="18" t="s">
        <v>52</v>
      </c>
      <c r="E27" s="10">
        <v>9</v>
      </c>
      <c r="F27" s="10">
        <v>26</v>
      </c>
      <c r="G27" s="10">
        <f t="shared" si="0"/>
        <v>10.4</v>
      </c>
      <c r="H27" s="19">
        <f t="shared" si="1"/>
        <v>19.399999999999999</v>
      </c>
      <c r="I27" s="20">
        <v>12</v>
      </c>
    </row>
    <row r="28" spans="2:9" ht="20" customHeight="1" x14ac:dyDescent="0.35">
      <c r="B28" s="17">
        <v>26</v>
      </c>
      <c r="C28" s="18" t="s">
        <v>53</v>
      </c>
      <c r="D28" s="18" t="s">
        <v>54</v>
      </c>
      <c r="E28" s="10">
        <v>9</v>
      </c>
      <c r="F28" s="10">
        <v>26</v>
      </c>
      <c r="G28" s="10">
        <f t="shared" si="0"/>
        <v>10.4</v>
      </c>
      <c r="H28" s="19">
        <f t="shared" si="1"/>
        <v>19.399999999999999</v>
      </c>
      <c r="I28" s="20">
        <v>14</v>
      </c>
    </row>
    <row r="29" spans="2:9" ht="20" customHeight="1" x14ac:dyDescent="0.35">
      <c r="B29" s="17">
        <v>27</v>
      </c>
      <c r="C29" s="18" t="s">
        <v>55</v>
      </c>
      <c r="D29" s="18" t="s">
        <v>56</v>
      </c>
      <c r="E29" s="10">
        <v>9</v>
      </c>
      <c r="F29" s="10">
        <v>26.5</v>
      </c>
      <c r="G29" s="10">
        <f t="shared" si="0"/>
        <v>10.6</v>
      </c>
      <c r="H29" s="19">
        <f t="shared" si="1"/>
        <v>19.600000000000001</v>
      </c>
      <c r="I29" s="20">
        <v>14</v>
      </c>
    </row>
    <row r="30" spans="2:9" ht="20" customHeight="1" x14ac:dyDescent="0.35">
      <c r="B30" s="17">
        <v>28</v>
      </c>
      <c r="C30" s="18" t="s">
        <v>57</v>
      </c>
      <c r="D30" s="18" t="s">
        <v>58</v>
      </c>
      <c r="E30" s="10">
        <v>9</v>
      </c>
      <c r="F30" s="10">
        <v>15</v>
      </c>
      <c r="G30" s="10">
        <f t="shared" si="0"/>
        <v>6</v>
      </c>
      <c r="H30" s="19">
        <f t="shared" si="1"/>
        <v>15</v>
      </c>
      <c r="I30" s="20">
        <v>0</v>
      </c>
    </row>
    <row r="31" spans="2:9" ht="20" customHeight="1" x14ac:dyDescent="0.35">
      <c r="B31" s="17">
        <v>29</v>
      </c>
      <c r="C31" s="18" t="s">
        <v>59</v>
      </c>
      <c r="D31" s="18" t="s">
        <v>60</v>
      </c>
      <c r="E31" s="10">
        <v>9</v>
      </c>
      <c r="F31" s="10">
        <v>30</v>
      </c>
      <c r="G31" s="10">
        <f t="shared" si="0"/>
        <v>12</v>
      </c>
      <c r="H31" s="19">
        <f t="shared" si="1"/>
        <v>21</v>
      </c>
      <c r="I31" s="20">
        <v>14</v>
      </c>
    </row>
    <row r="32" spans="2:9" ht="20" customHeight="1" x14ac:dyDescent="0.35">
      <c r="B32" s="17">
        <v>30</v>
      </c>
      <c r="C32" s="18" t="s">
        <v>61</v>
      </c>
      <c r="D32" s="18" t="s">
        <v>62</v>
      </c>
      <c r="E32" s="10">
        <v>9</v>
      </c>
      <c r="F32" s="10">
        <v>46.5</v>
      </c>
      <c r="G32" s="10">
        <f t="shared" si="0"/>
        <v>18.600000000000001</v>
      </c>
      <c r="H32" s="19">
        <f t="shared" si="1"/>
        <v>27.6</v>
      </c>
      <c r="I32" s="20">
        <v>14</v>
      </c>
    </row>
    <row r="33" spans="2:9" ht="20" customHeight="1" x14ac:dyDescent="0.35">
      <c r="B33" s="17">
        <v>31</v>
      </c>
      <c r="C33" s="18" t="s">
        <v>63</v>
      </c>
      <c r="D33" s="18" t="s">
        <v>64</v>
      </c>
      <c r="E33" s="10">
        <v>9</v>
      </c>
      <c r="F33" s="10">
        <v>32.5</v>
      </c>
      <c r="G33" s="10">
        <f t="shared" si="0"/>
        <v>13</v>
      </c>
      <c r="H33" s="19">
        <f t="shared" si="1"/>
        <v>22</v>
      </c>
      <c r="I33" s="20">
        <v>12</v>
      </c>
    </row>
    <row r="34" spans="2:9" ht="20" customHeight="1" x14ac:dyDescent="0.35">
      <c r="B34" s="17">
        <v>32</v>
      </c>
      <c r="C34" s="18" t="s">
        <v>65</v>
      </c>
      <c r="D34" s="18" t="s">
        <v>66</v>
      </c>
      <c r="E34" s="10">
        <v>9</v>
      </c>
      <c r="F34" s="10">
        <v>28.5</v>
      </c>
      <c r="G34" s="10">
        <f t="shared" si="0"/>
        <v>11.4</v>
      </c>
      <c r="H34" s="19">
        <f t="shared" si="1"/>
        <v>20.399999999999999</v>
      </c>
      <c r="I34" s="20">
        <v>14</v>
      </c>
    </row>
    <row r="35" spans="2:9" ht="20" customHeight="1" x14ac:dyDescent="0.35">
      <c r="B35" s="17">
        <v>33</v>
      </c>
      <c r="C35" s="18" t="s">
        <v>67</v>
      </c>
      <c r="D35" s="18" t="s">
        <v>68</v>
      </c>
      <c r="E35" s="10">
        <v>9</v>
      </c>
      <c r="F35" s="10">
        <v>30</v>
      </c>
      <c r="G35" s="10">
        <f t="shared" si="0"/>
        <v>12</v>
      </c>
      <c r="H35" s="19">
        <f t="shared" si="1"/>
        <v>21</v>
      </c>
      <c r="I35" s="20">
        <v>12</v>
      </c>
    </row>
    <row r="36" spans="2:9" ht="20" customHeight="1" x14ac:dyDescent="0.35">
      <c r="B36" s="17">
        <v>34</v>
      </c>
      <c r="C36" s="18" t="s">
        <v>69</v>
      </c>
      <c r="D36" s="18" t="s">
        <v>70</v>
      </c>
      <c r="E36" s="10">
        <v>9</v>
      </c>
      <c r="F36" s="10">
        <v>36</v>
      </c>
      <c r="G36" s="10">
        <f t="shared" si="0"/>
        <v>14.4</v>
      </c>
      <c r="H36" s="19">
        <f t="shared" si="1"/>
        <v>23.4</v>
      </c>
      <c r="I36" s="20">
        <v>14</v>
      </c>
    </row>
    <row r="37" spans="2:9" ht="20" customHeight="1" x14ac:dyDescent="0.35">
      <c r="B37" s="17">
        <v>35</v>
      </c>
      <c r="C37" s="18" t="s">
        <v>71</v>
      </c>
      <c r="D37" s="18" t="s">
        <v>72</v>
      </c>
      <c r="E37" s="10">
        <v>9</v>
      </c>
      <c r="F37" s="10">
        <v>33.5</v>
      </c>
      <c r="G37" s="10">
        <f t="shared" si="0"/>
        <v>13.4</v>
      </c>
      <c r="H37" s="19">
        <f t="shared" si="1"/>
        <v>22.4</v>
      </c>
      <c r="I37" s="20">
        <v>12</v>
      </c>
    </row>
    <row r="38" spans="2:9" ht="20" customHeight="1" x14ac:dyDescent="0.35">
      <c r="B38" s="17">
        <v>36</v>
      </c>
      <c r="C38" s="18" t="s">
        <v>73</v>
      </c>
      <c r="D38" s="18" t="s">
        <v>74</v>
      </c>
      <c r="E38" s="10">
        <v>9</v>
      </c>
      <c r="F38" s="10">
        <v>25.5</v>
      </c>
      <c r="G38" s="10">
        <f t="shared" si="0"/>
        <v>10.199999999999999</v>
      </c>
      <c r="H38" s="19">
        <f t="shared" si="1"/>
        <v>19.2</v>
      </c>
      <c r="I38" s="20">
        <v>14</v>
      </c>
    </row>
    <row r="39" spans="2:9" ht="20" customHeight="1" x14ac:dyDescent="0.35">
      <c r="B39" s="17">
        <v>37</v>
      </c>
      <c r="C39" s="18" t="s">
        <v>75</v>
      </c>
      <c r="D39" s="18" t="s">
        <v>76</v>
      </c>
      <c r="E39" s="10">
        <v>9</v>
      </c>
      <c r="F39" s="10">
        <v>32.5</v>
      </c>
      <c r="G39" s="10">
        <f t="shared" si="0"/>
        <v>13</v>
      </c>
      <c r="H39" s="19">
        <f t="shared" si="1"/>
        <v>22</v>
      </c>
      <c r="I39" s="20">
        <v>14</v>
      </c>
    </row>
    <row r="40" spans="2:9" ht="20" customHeight="1" x14ac:dyDescent="0.35">
      <c r="B40" s="17">
        <v>38</v>
      </c>
      <c r="C40" s="18" t="s">
        <v>77</v>
      </c>
      <c r="D40" s="18" t="s">
        <v>78</v>
      </c>
      <c r="E40" s="10">
        <v>9</v>
      </c>
      <c r="F40" s="10">
        <v>25</v>
      </c>
      <c r="G40" s="10">
        <f t="shared" si="0"/>
        <v>10</v>
      </c>
      <c r="H40" s="19">
        <f t="shared" si="1"/>
        <v>19</v>
      </c>
      <c r="I40" s="20">
        <v>0</v>
      </c>
    </row>
    <row r="41" spans="2:9" ht="20" customHeight="1" x14ac:dyDescent="0.35">
      <c r="B41" s="17">
        <v>39</v>
      </c>
      <c r="C41" s="18" t="s">
        <v>79</v>
      </c>
      <c r="D41" s="18" t="s">
        <v>80</v>
      </c>
      <c r="E41" s="10">
        <v>9</v>
      </c>
      <c r="F41" s="10">
        <v>22</v>
      </c>
      <c r="G41" s="10">
        <f t="shared" si="0"/>
        <v>8.8000000000000007</v>
      </c>
      <c r="H41" s="19">
        <f t="shared" si="1"/>
        <v>17.8</v>
      </c>
      <c r="I41" s="20">
        <v>12</v>
      </c>
    </row>
    <row r="42" spans="2:9" ht="20" customHeight="1" x14ac:dyDescent="0.35">
      <c r="B42" s="17">
        <v>40</v>
      </c>
      <c r="C42" s="18" t="s">
        <v>81</v>
      </c>
      <c r="D42" s="18" t="s">
        <v>82</v>
      </c>
      <c r="E42" s="10">
        <v>9</v>
      </c>
      <c r="F42" s="10">
        <v>42.5</v>
      </c>
      <c r="G42" s="10">
        <f t="shared" si="0"/>
        <v>17</v>
      </c>
      <c r="H42" s="19">
        <f t="shared" si="1"/>
        <v>26</v>
      </c>
      <c r="I42" s="20">
        <v>14</v>
      </c>
    </row>
    <row r="43" spans="2:9" ht="20" customHeight="1" x14ac:dyDescent="0.35">
      <c r="B43" s="17">
        <v>41</v>
      </c>
      <c r="C43" s="18" t="s">
        <v>83</v>
      </c>
      <c r="D43" s="18" t="s">
        <v>84</v>
      </c>
      <c r="E43" s="10">
        <v>9</v>
      </c>
      <c r="F43" s="10">
        <v>23</v>
      </c>
      <c r="G43" s="10">
        <f t="shared" si="0"/>
        <v>9.1999999999999993</v>
      </c>
      <c r="H43" s="19">
        <f t="shared" si="1"/>
        <v>18.2</v>
      </c>
      <c r="I43" s="20">
        <v>14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0F0F9-0FBB-41AC-B5CE-FC01E9BFD269}">
  <dimension ref="B1:E52"/>
  <sheetViews>
    <sheetView workbookViewId="0">
      <selection activeCell="C46" sqref="C46:D46"/>
    </sheetView>
  </sheetViews>
  <sheetFormatPr defaultRowHeight="14.5" x14ac:dyDescent="0.35"/>
  <cols>
    <col min="3" max="3" width="28.90625" customWidth="1"/>
    <col min="4" max="4" width="19.453125" customWidth="1"/>
    <col min="5" max="5" width="24.6328125" customWidth="1"/>
  </cols>
  <sheetData>
    <row r="1" spans="2:5" ht="20" customHeight="1" x14ac:dyDescent="0.35">
      <c r="B1" s="9" t="s">
        <v>92</v>
      </c>
      <c r="C1" s="9" t="s">
        <v>93</v>
      </c>
      <c r="D1" s="9" t="s">
        <v>94</v>
      </c>
      <c r="E1" s="9" t="s">
        <v>135</v>
      </c>
    </row>
    <row r="2" spans="2:5" ht="20" customHeight="1" x14ac:dyDescent="0.35">
      <c r="B2" s="15">
        <v>1</v>
      </c>
      <c r="C2" s="11" t="s">
        <v>19</v>
      </c>
      <c r="D2" s="11" t="s">
        <v>95</v>
      </c>
      <c r="E2" s="10" t="s">
        <v>136</v>
      </c>
    </row>
    <row r="3" spans="2:5" ht="20" customHeight="1" x14ac:dyDescent="0.35">
      <c r="B3" s="15"/>
      <c r="C3" s="11" t="s">
        <v>53</v>
      </c>
      <c r="D3" s="11" t="s">
        <v>96</v>
      </c>
      <c r="E3" s="10"/>
    </row>
    <row r="4" spans="2:5" ht="20" customHeight="1" x14ac:dyDescent="0.35">
      <c r="B4" s="15"/>
      <c r="C4" s="11" t="s">
        <v>83</v>
      </c>
      <c r="D4" s="11" t="s">
        <v>97</v>
      </c>
      <c r="E4" s="10"/>
    </row>
    <row r="5" spans="2:5" ht="20" customHeight="1" x14ac:dyDescent="0.35">
      <c r="B5" s="15">
        <v>2</v>
      </c>
      <c r="C5" s="11" t="s">
        <v>41</v>
      </c>
      <c r="D5" s="11" t="s">
        <v>98</v>
      </c>
      <c r="E5" s="10" t="s">
        <v>136</v>
      </c>
    </row>
    <row r="6" spans="2:5" ht="20" customHeight="1" x14ac:dyDescent="0.35">
      <c r="B6" s="15"/>
      <c r="C6" s="11" t="s">
        <v>39</v>
      </c>
      <c r="D6" s="11" t="s">
        <v>99</v>
      </c>
      <c r="E6" s="10"/>
    </row>
    <row r="7" spans="2:5" ht="20" customHeight="1" x14ac:dyDescent="0.35">
      <c r="B7" s="15"/>
      <c r="C7" s="11" t="s">
        <v>81</v>
      </c>
      <c r="D7" s="11" t="s">
        <v>100</v>
      </c>
      <c r="E7" s="10"/>
    </row>
    <row r="8" spans="2:5" ht="20" customHeight="1" thickBot="1" x14ac:dyDescent="0.4">
      <c r="B8" s="15">
        <v>3</v>
      </c>
      <c r="C8" s="11" t="s">
        <v>21</v>
      </c>
      <c r="D8" s="11" t="s">
        <v>101</v>
      </c>
      <c r="E8" s="10" t="s">
        <v>136</v>
      </c>
    </row>
    <row r="9" spans="2:5" ht="20" customHeight="1" thickBot="1" x14ac:dyDescent="0.4">
      <c r="B9" s="15"/>
      <c r="C9" s="12" t="s">
        <v>33</v>
      </c>
      <c r="D9" s="12" t="s">
        <v>102</v>
      </c>
      <c r="E9" s="10"/>
    </row>
    <row r="10" spans="2:5" ht="20" customHeight="1" x14ac:dyDescent="0.35">
      <c r="B10" s="15"/>
      <c r="C10" s="11" t="s">
        <v>31</v>
      </c>
      <c r="D10" s="11" t="s">
        <v>103</v>
      </c>
      <c r="E10" s="10"/>
    </row>
    <row r="11" spans="2:5" ht="20" customHeight="1" x14ac:dyDescent="0.35">
      <c r="B11" s="15">
        <v>4</v>
      </c>
      <c r="C11" s="11" t="s">
        <v>45</v>
      </c>
      <c r="D11" s="11" t="s">
        <v>104</v>
      </c>
      <c r="E11" s="10"/>
    </row>
    <row r="12" spans="2:5" ht="20" customHeight="1" x14ac:dyDescent="0.35">
      <c r="B12" s="15"/>
      <c r="C12" s="11" t="s">
        <v>43</v>
      </c>
      <c r="D12" s="11" t="s">
        <v>105</v>
      </c>
      <c r="E12" s="10" t="s">
        <v>136</v>
      </c>
    </row>
    <row r="13" spans="2:5" ht="20" customHeight="1" x14ac:dyDescent="0.35">
      <c r="B13" s="15"/>
      <c r="C13" s="11" t="s">
        <v>27</v>
      </c>
      <c r="D13" s="11" t="s">
        <v>106</v>
      </c>
      <c r="E13" s="10"/>
    </row>
    <row r="14" spans="2:5" ht="20" customHeight="1" x14ac:dyDescent="0.35">
      <c r="B14" s="15">
        <v>5</v>
      </c>
      <c r="C14" s="11" t="s">
        <v>23</v>
      </c>
      <c r="D14" s="11" t="s">
        <v>107</v>
      </c>
      <c r="E14" s="10" t="s">
        <v>136</v>
      </c>
    </row>
    <row r="15" spans="2:5" ht="20" customHeight="1" x14ac:dyDescent="0.35">
      <c r="B15" s="15"/>
      <c r="C15" s="11" t="s">
        <v>17</v>
      </c>
      <c r="D15" s="11" t="s">
        <v>108</v>
      </c>
      <c r="E15" s="10"/>
    </row>
    <row r="16" spans="2:5" ht="20" customHeight="1" x14ac:dyDescent="0.35">
      <c r="B16" s="15"/>
      <c r="C16" s="11" t="s">
        <v>3</v>
      </c>
      <c r="D16" s="11" t="s">
        <v>109</v>
      </c>
      <c r="E16" s="10"/>
    </row>
    <row r="17" spans="2:5" ht="20" customHeight="1" x14ac:dyDescent="0.35">
      <c r="B17" s="15">
        <v>6</v>
      </c>
      <c r="C17" s="11" t="s">
        <v>15</v>
      </c>
      <c r="D17" s="11" t="s">
        <v>110</v>
      </c>
      <c r="E17" s="10"/>
    </row>
    <row r="18" spans="2:5" ht="20" customHeight="1" x14ac:dyDescent="0.35">
      <c r="B18" s="15"/>
      <c r="C18" s="11" t="s">
        <v>7</v>
      </c>
      <c r="D18" s="11" t="s">
        <v>111</v>
      </c>
      <c r="E18" s="10" t="s">
        <v>136</v>
      </c>
    </row>
    <row r="19" spans="2:5" ht="20" customHeight="1" x14ac:dyDescent="0.35">
      <c r="B19" s="15">
        <v>7</v>
      </c>
      <c r="E19" s="10"/>
    </row>
    <row r="20" spans="2:5" ht="20" customHeight="1" x14ac:dyDescent="0.35">
      <c r="B20" s="15"/>
      <c r="E20" s="10"/>
    </row>
    <row r="21" spans="2:5" ht="20" customHeight="1" x14ac:dyDescent="0.35">
      <c r="B21" s="15"/>
      <c r="E21" s="10"/>
    </row>
    <row r="22" spans="2:5" ht="20" customHeight="1" x14ac:dyDescent="0.35">
      <c r="B22" s="15">
        <v>8</v>
      </c>
      <c r="C22" s="11" t="s">
        <v>37</v>
      </c>
      <c r="D22" s="11" t="s">
        <v>115</v>
      </c>
      <c r="E22" s="13"/>
    </row>
    <row r="23" spans="2:5" ht="20" customHeight="1" x14ac:dyDescent="0.35">
      <c r="B23" s="15"/>
      <c r="C23" s="11" t="s">
        <v>35</v>
      </c>
      <c r="D23" s="11" t="s">
        <v>116</v>
      </c>
      <c r="E23" s="10" t="s">
        <v>136</v>
      </c>
    </row>
    <row r="24" spans="2:5" ht="20" customHeight="1" x14ac:dyDescent="0.35">
      <c r="B24" s="15"/>
      <c r="C24" s="11" t="s">
        <v>49</v>
      </c>
      <c r="D24" s="11" t="s">
        <v>117</v>
      </c>
      <c r="E24" s="10"/>
    </row>
    <row r="25" spans="2:5" ht="20" customHeight="1" x14ac:dyDescent="0.35"/>
    <row r="26" spans="2:5" ht="20" customHeight="1" x14ac:dyDescent="0.35">
      <c r="B26" s="15">
        <v>1</v>
      </c>
      <c r="C26" s="11" t="s">
        <v>69</v>
      </c>
      <c r="D26" s="11" t="s">
        <v>70</v>
      </c>
      <c r="E26" s="10" t="s">
        <v>136</v>
      </c>
    </row>
    <row r="27" spans="2:5" ht="20" customHeight="1" x14ac:dyDescent="0.35">
      <c r="B27" s="15"/>
      <c r="C27" s="11" t="s">
        <v>75</v>
      </c>
      <c r="D27" s="11" t="s">
        <v>118</v>
      </c>
    </row>
    <row r="28" spans="2:5" ht="20" customHeight="1" x14ac:dyDescent="0.35">
      <c r="B28" s="15"/>
      <c r="C28" s="11" t="s">
        <v>51</v>
      </c>
      <c r="D28" s="11" t="s">
        <v>119</v>
      </c>
    </row>
    <row r="29" spans="2:5" ht="20" customHeight="1" x14ac:dyDescent="0.35">
      <c r="B29" s="15"/>
      <c r="C29" s="11" t="s">
        <v>71</v>
      </c>
      <c r="D29" s="11" t="s">
        <v>120</v>
      </c>
    </row>
    <row r="30" spans="2:5" ht="20" customHeight="1" x14ac:dyDescent="0.35">
      <c r="B30" s="15">
        <v>2</v>
      </c>
      <c r="C30" s="11" t="s">
        <v>59</v>
      </c>
      <c r="D30" s="11" t="s">
        <v>121</v>
      </c>
      <c r="E30" t="s">
        <v>137</v>
      </c>
    </row>
    <row r="31" spans="2:5" ht="20" customHeight="1" x14ac:dyDescent="0.35">
      <c r="B31" s="15"/>
      <c r="C31" s="11" t="s">
        <v>61</v>
      </c>
      <c r="D31" s="11" t="s">
        <v>122</v>
      </c>
    </row>
    <row r="32" spans="2:5" ht="20" customHeight="1" x14ac:dyDescent="0.35">
      <c r="B32" s="15"/>
      <c r="C32" s="11" t="s">
        <v>73</v>
      </c>
      <c r="D32" s="11" t="s">
        <v>123</v>
      </c>
    </row>
    <row r="33" spans="2:5" ht="20" customHeight="1" x14ac:dyDescent="0.35">
      <c r="B33" s="15">
        <v>3</v>
      </c>
      <c r="C33" s="11" t="s">
        <v>29</v>
      </c>
      <c r="D33" s="11" t="s">
        <v>124</v>
      </c>
    </row>
    <row r="34" spans="2:5" ht="20" customHeight="1" x14ac:dyDescent="0.35">
      <c r="B34" s="15"/>
      <c r="C34" s="11" t="s">
        <v>67</v>
      </c>
      <c r="D34" s="11" t="s">
        <v>126</v>
      </c>
      <c r="E34" s="10" t="s">
        <v>136</v>
      </c>
    </row>
    <row r="35" spans="2:5" ht="20" customHeight="1" x14ac:dyDescent="0.35">
      <c r="B35" s="15">
        <v>4</v>
      </c>
      <c r="C35" s="11" t="s">
        <v>5</v>
      </c>
      <c r="D35" s="11" t="s">
        <v>127</v>
      </c>
      <c r="E35" s="10" t="s">
        <v>136</v>
      </c>
    </row>
    <row r="36" spans="2:5" ht="20" customHeight="1" x14ac:dyDescent="0.35">
      <c r="B36" s="15"/>
      <c r="C36" s="11" t="s">
        <v>65</v>
      </c>
      <c r="D36" s="11" t="s">
        <v>128</v>
      </c>
    </row>
    <row r="37" spans="2:5" ht="20" customHeight="1" x14ac:dyDescent="0.35">
      <c r="B37" s="15"/>
      <c r="C37" s="11" t="s">
        <v>55</v>
      </c>
      <c r="D37" s="11" t="s">
        <v>129</v>
      </c>
    </row>
    <row r="38" spans="2:5" ht="20" customHeight="1" x14ac:dyDescent="0.35">
      <c r="B38" s="15">
        <v>5</v>
      </c>
    </row>
    <row r="39" spans="2:5" ht="20" customHeight="1" x14ac:dyDescent="0.35">
      <c r="B39" s="15"/>
      <c r="C39" s="11" t="s">
        <v>9</v>
      </c>
      <c r="D39" s="11" t="s">
        <v>131</v>
      </c>
    </row>
    <row r="40" spans="2:5" ht="20" customHeight="1" x14ac:dyDescent="0.35">
      <c r="B40" s="15"/>
      <c r="C40" s="11" t="s">
        <v>47</v>
      </c>
      <c r="D40" s="11" t="s">
        <v>132</v>
      </c>
      <c r="E40" s="10" t="s">
        <v>136</v>
      </c>
    </row>
    <row r="41" spans="2:5" ht="20" customHeight="1" x14ac:dyDescent="0.35">
      <c r="B41" s="15">
        <v>6</v>
      </c>
      <c r="C41" s="11" t="s">
        <v>79</v>
      </c>
      <c r="D41" s="11" t="s">
        <v>133</v>
      </c>
    </row>
    <row r="42" spans="2:5" ht="20" customHeight="1" x14ac:dyDescent="0.35">
      <c r="B42" s="15"/>
      <c r="C42" s="11" t="s">
        <v>63</v>
      </c>
      <c r="D42" s="11" t="s">
        <v>134</v>
      </c>
      <c r="E42" s="10" t="s">
        <v>136</v>
      </c>
    </row>
    <row r="46" spans="2:5" x14ac:dyDescent="0.35">
      <c r="C46" s="11" t="s">
        <v>11</v>
      </c>
      <c r="D46" s="11" t="s">
        <v>130</v>
      </c>
    </row>
    <row r="47" spans="2:5" x14ac:dyDescent="0.35">
      <c r="C47" s="11" t="s">
        <v>77</v>
      </c>
      <c r="D47" s="11" t="s">
        <v>125</v>
      </c>
    </row>
    <row r="50" spans="3:4" x14ac:dyDescent="0.35">
      <c r="C50" s="11" t="s">
        <v>25</v>
      </c>
      <c r="D50" s="11" t="s">
        <v>112</v>
      </c>
    </row>
    <row r="51" spans="3:4" x14ac:dyDescent="0.35">
      <c r="C51" s="11" t="s">
        <v>57</v>
      </c>
      <c r="D51" s="11" t="s">
        <v>113</v>
      </c>
    </row>
    <row r="52" spans="3:4" x14ac:dyDescent="0.35">
      <c r="C52" s="11" t="s">
        <v>13</v>
      </c>
      <c r="D52" s="11" t="s">
        <v>114</v>
      </c>
    </row>
  </sheetData>
  <mergeCells count="14">
    <mergeCell ref="B17:B18"/>
    <mergeCell ref="B2:B4"/>
    <mergeCell ref="B5:B7"/>
    <mergeCell ref="B8:B10"/>
    <mergeCell ref="B11:B13"/>
    <mergeCell ref="B14:B16"/>
    <mergeCell ref="B38:B40"/>
    <mergeCell ref="B41:B42"/>
    <mergeCell ref="B19:B21"/>
    <mergeCell ref="B22:B24"/>
    <mergeCell ref="B26:B29"/>
    <mergeCell ref="B30:B32"/>
    <mergeCell ref="B33:B34"/>
    <mergeCell ref="B35:B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5E64-7429-41CF-BBF5-D269630AFCD8}">
  <dimension ref="C3:D23"/>
  <sheetViews>
    <sheetView workbookViewId="0">
      <selection activeCell="C5" sqref="C5"/>
    </sheetView>
  </sheetViews>
  <sheetFormatPr defaultRowHeight="14.5" x14ac:dyDescent="0.35"/>
  <cols>
    <col min="3" max="3" width="81.90625" bestFit="1" customWidth="1"/>
  </cols>
  <sheetData>
    <row r="3" spans="3:4" ht="15.5" x14ac:dyDescent="0.35">
      <c r="C3" s="14" t="s">
        <v>138</v>
      </c>
    </row>
    <row r="4" spans="3:4" ht="15.5" x14ac:dyDescent="0.35">
      <c r="C4" s="14" t="s">
        <v>139</v>
      </c>
      <c r="D4" t="s">
        <v>160</v>
      </c>
    </row>
    <row r="5" spans="3:4" ht="15.5" x14ac:dyDescent="0.35">
      <c r="C5" s="14" t="s">
        <v>140</v>
      </c>
      <c r="D5" t="s">
        <v>160</v>
      </c>
    </row>
    <row r="6" spans="3:4" ht="15.5" x14ac:dyDescent="0.35">
      <c r="C6" s="14" t="s">
        <v>141</v>
      </c>
      <c r="D6" t="s">
        <v>160</v>
      </c>
    </row>
    <row r="7" spans="3:4" ht="15.5" x14ac:dyDescent="0.35">
      <c r="C7" s="14" t="s">
        <v>142</v>
      </c>
      <c r="D7" t="s">
        <v>160</v>
      </c>
    </row>
    <row r="8" spans="3:4" ht="15.5" x14ac:dyDescent="0.35">
      <c r="C8" s="14" t="s">
        <v>143</v>
      </c>
      <c r="D8" t="s">
        <v>160</v>
      </c>
    </row>
    <row r="9" spans="3:4" ht="15.5" x14ac:dyDescent="0.35">
      <c r="C9" s="14" t="s">
        <v>144</v>
      </c>
      <c r="D9" t="s">
        <v>160</v>
      </c>
    </row>
    <row r="10" spans="3:4" ht="15.5" x14ac:dyDescent="0.35">
      <c r="C10" s="14" t="s">
        <v>145</v>
      </c>
      <c r="D10" t="s">
        <v>160</v>
      </c>
    </row>
    <row r="11" spans="3:4" ht="15.5" x14ac:dyDescent="0.35">
      <c r="C11" s="14" t="s">
        <v>146</v>
      </c>
      <c r="D11" t="s">
        <v>160</v>
      </c>
    </row>
    <row r="12" spans="3:4" ht="15.5" x14ac:dyDescent="0.35">
      <c r="C12" s="14" t="s">
        <v>147</v>
      </c>
      <c r="D12" t="s">
        <v>159</v>
      </c>
    </row>
    <row r="13" spans="3:4" ht="15.5" x14ac:dyDescent="0.35">
      <c r="C13" s="14" t="s">
        <v>148</v>
      </c>
      <c r="D13" t="s">
        <v>160</v>
      </c>
    </row>
    <row r="14" spans="3:4" ht="15.5" x14ac:dyDescent="0.35">
      <c r="C14" s="14" t="s">
        <v>149</v>
      </c>
      <c r="D14" t="s">
        <v>160</v>
      </c>
    </row>
    <row r="15" spans="3:4" ht="15.5" x14ac:dyDescent="0.35">
      <c r="C15" s="14" t="s">
        <v>150</v>
      </c>
      <c r="D15" t="s">
        <v>160</v>
      </c>
    </row>
    <row r="16" spans="3:4" ht="15.5" x14ac:dyDescent="0.35">
      <c r="C16" s="14" t="s">
        <v>151</v>
      </c>
      <c r="D16" t="s">
        <v>160</v>
      </c>
    </row>
    <row r="17" spans="3:4" ht="15.5" x14ac:dyDescent="0.35">
      <c r="C17" s="14" t="s">
        <v>152</v>
      </c>
      <c r="D17" t="s">
        <v>160</v>
      </c>
    </row>
    <row r="18" spans="3:4" ht="15.5" x14ac:dyDescent="0.35">
      <c r="C18" s="14" t="s">
        <v>153</v>
      </c>
      <c r="D18" t="s">
        <v>160</v>
      </c>
    </row>
    <row r="19" spans="3:4" ht="15.5" x14ac:dyDescent="0.35">
      <c r="C19" s="14" t="s">
        <v>154</v>
      </c>
      <c r="D19" t="s">
        <v>160</v>
      </c>
    </row>
    <row r="20" spans="3:4" ht="15.5" x14ac:dyDescent="0.35">
      <c r="C20" s="14" t="s">
        <v>155</v>
      </c>
      <c r="D20" t="s">
        <v>160</v>
      </c>
    </row>
    <row r="21" spans="3:4" ht="15.5" x14ac:dyDescent="0.35">
      <c r="C21" s="14" t="s">
        <v>156</v>
      </c>
      <c r="D21" t="s">
        <v>160</v>
      </c>
    </row>
    <row r="22" spans="3:4" ht="15.5" x14ac:dyDescent="0.35">
      <c r="C22" s="14" t="s">
        <v>157</v>
      </c>
      <c r="D22" t="s">
        <v>160</v>
      </c>
    </row>
    <row r="23" spans="3:4" ht="15.5" x14ac:dyDescent="0.35">
      <c r="C23" s="14" t="s">
        <v>158</v>
      </c>
      <c r="D2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Shantha Kumari K 102805</dc:creator>
  <cp:lastModifiedBy>Shantha Kumari K 102805</cp:lastModifiedBy>
  <dcterms:created xsi:type="dcterms:W3CDTF">2026-03-12T08:07:00Z</dcterms:created>
  <dcterms:modified xsi:type="dcterms:W3CDTF">2026-05-05T11:19:22Z</dcterms:modified>
</cp:coreProperties>
</file>